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NVIDIA Model" sheetId="3" state="visible" r:id="rId3"/>
    <sheet xmlns:r="http://schemas.openxmlformats.org/officeDocument/2006/relationships" name="Palantir Model" sheetId="4" state="visible" r:id="rId4"/>
    <sheet xmlns:r="http://schemas.openxmlformats.org/officeDocument/2006/relationships" name="DCF &amp; Sensitivity" sheetId="5" state="visible" r:id="rId5"/>
    <sheet xmlns:r="http://schemas.openxmlformats.org/officeDocument/2006/relationships" name="Sources" sheetId="6" state="visible" r:id="rId6"/>
  </sheets>
  <definedNames>
    <definedName name="_xlnm._FilterDatabase" localSheetId="1" hidden="1">'Assumptions'!$A$1:$D$22</definedName>
    <definedName name="_xlnm._FilterDatabase" localSheetId="5" hidden="1">'Sources'!$A$1:$C$10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$0.00"/>
    <numFmt numFmtId="167" formatCode="#,##0.000;[Red](#,##0.000);-"/>
    <numFmt numFmtId="168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b val="1"/>
    </font>
    <font/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EF5FB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8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165" fontId="5" fillId="3" borderId="0" applyAlignment="1" pivotButton="0" quotePrefix="0" xfId="0">
      <alignment vertical="center"/>
    </xf>
    <xf numFmtId="166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8" fontId="0" fillId="4" borderId="0" applyAlignment="1" pivotButton="0" quotePrefix="0" xfId="0">
      <alignment horizontal="right"/>
    </xf>
    <xf numFmtId="0" fontId="7" fillId="0" borderId="0" applyAlignment="1" pivotButton="0" quotePrefix="0" xfId="0">
      <alignment vertical="center"/>
    </xf>
    <xf numFmtId="164" fontId="0" fillId="3" borderId="0" applyAlignment="1" pivotButton="0" quotePrefix="0" xfId="0">
      <alignment horizontal="right"/>
    </xf>
    <xf numFmtId="168" fontId="0" fillId="3" borderId="0" applyAlignment="1" pivotButton="0" quotePrefix="0" xfId="0">
      <alignment horizontal="right"/>
    </xf>
    <xf numFmtId="0" fontId="4" fillId="2" borderId="0" applyAlignment="1" pivotButton="0" quotePrefix="0" xfId="0">
      <alignment vertical="center"/>
    </xf>
    <xf numFmtId="167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investor.nvidia.com/news/press-release-details/2026/NVIDIA-Announces-Financial-Results-for-Second-Quarter-Fiscal-2027/" TargetMode="External" Id="rId1"/><Relationship Type="http://schemas.openxmlformats.org/officeDocument/2006/relationships/hyperlink" Target="https://investor.nvidia.com/news/press-release-details/2026/NVIDIA-Announces-Financial-Results-for-Second-Quarter-Fiscal-2027/default.aspx" TargetMode="External" Id="rId2"/><Relationship Type="http://schemas.openxmlformats.org/officeDocument/2006/relationships/hyperlink" Target="https://investors.palantir.com/files/Palantir%20-%20Q2%202026%20Business%20Update.pdf" TargetMode="External" Id="rId3"/><Relationship Type="http://schemas.openxmlformats.org/officeDocument/2006/relationships/hyperlink" Target="https://www.palantir.com/q2-2026-letter/en/" TargetMode="External" Id="rId4"/><Relationship Type="http://schemas.openxmlformats.org/officeDocument/2006/relationships/hyperlink" Target="https://investors.palantir.com/news-details/2026/Palantir-Reports-Q1-2026-U-S--Revenue-Growth-of-104-YY-and-Revenue-Growth-of-85/" TargetMode="External" Id="rId5"/><Relationship Type="http://schemas.openxmlformats.org/officeDocument/2006/relationships/hyperlink" Target="https://investors.palantir.com/financials/quarterly-result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28" customHeight="1">
      <c r="A1" s="1" t="inlineStr">
        <is>
          <t>NVIDIA &amp; Palantir — Investment Financial Model</t>
        </is>
      </c>
    </row>
    <row r="2" ht="30" customHeight="1">
      <c r="A2" s="2" t="inlineStr">
        <is>
          <t>Base-case, five-year operating forecast and FCFF DCF. USD billions unless stated otherwise.</t>
        </is>
      </c>
    </row>
    <row r="3"/>
    <row r="4" ht="25" customHeight="1">
      <c r="A4" s="3" t="inlineStr">
        <is>
          <t>Purpose</t>
        </is>
      </c>
      <c r="B4" s="4" t="inlineStr">
        <is>
          <t>Investment analysis framework for NVIDIA (NVDA) and Palantir Technologies (PLTR).</t>
        </is>
      </c>
    </row>
    <row r="5" ht="35" customHeight="1">
      <c r="A5" s="3" t="inlineStr">
        <is>
          <t>Workbook contents</t>
        </is>
      </c>
      <c r="B5" s="4" t="inlineStr">
        <is>
          <t>Assumptions: editable blue-font drivers; company model tabs: actuals, forecasts, income statement and FCFF; DCF &amp; Sensitivity: DCF output and WACC/terminal growth matrices; Sources: URLs and data notes.</t>
        </is>
      </c>
    </row>
    <row r="6" ht="35" customHeight="1">
      <c r="A6" s="3" t="inlineStr">
        <is>
          <t>Color key</t>
        </is>
      </c>
      <c r="B6" s="4" t="inlineStr">
        <is>
          <t>Blue font = editable input / assumption. Black font = formula. Green fill = sourced actual or company guidance. Yellow fill = illustrative assumption / needs user review.</t>
        </is>
      </c>
    </row>
    <row r="7" ht="35" customHeight="1">
      <c r="A7" s="3" t="inlineStr">
        <is>
          <t>Important limitation</t>
        </is>
      </c>
      <c r="B7" s="4" t="inlineStr">
        <is>
          <t>This is an educational model, not investment advice or a price target. Market prices and latest diluted share counts are not pulled live. DCF per-share outputs depend materially on editable net cash, diluted shares, WACC and terminal growth.</t>
        </is>
      </c>
    </row>
    <row r="8" ht="35" customHeight="1">
      <c r="A8" s="3" t="inlineStr">
        <is>
          <t>NVIDIA reporting period</t>
        </is>
      </c>
      <c r="B8" s="4" t="inlineStr">
        <is>
          <t>NVIDIA fiscal years differ from calendar years. The forecast starts FY2027E; latest actual anchor in this workbook is Q2 FY2027 and first-half FY2027.</t>
        </is>
      </c>
    </row>
    <row r="9" ht="35" customHeight="1">
      <c r="A9" s="3" t="inlineStr">
        <is>
          <t>Palantir reporting period</t>
        </is>
      </c>
      <c r="B9" s="4" t="inlineStr">
        <is>
          <t>Calendar years. Q1 and Q2 2026 actuals are sourced; full-year 2026 revenue and adjusted FCF use company guidance / run-rate context, while GAAP forecast line items are modeled.</t>
        </is>
      </c>
    </row>
    <row r="10" ht="35" customHeight="1">
      <c r="A10" s="3" t="inlineStr">
        <is>
          <t>Forecast logic</t>
        </is>
      </c>
      <c r="B10" s="4" t="inlineStr">
        <is>
          <t>Revenue = prior year revenue × (1 + growth). Gross profit = revenue × gross margin. Operating income = revenue × operating margin. FCFF = NOPAT + D&amp;A − CapEx − change in NWC.</t>
        </is>
      </c>
    </row>
    <row r="11" ht="35" customHeight="1">
      <c r="A11" s="3" t="inlineStr">
        <is>
          <t>DCF logic</t>
        </is>
      </c>
      <c r="B11" s="4" t="inlineStr">
        <is>
          <t>Enterprise value = PV of explicit FCFF + PV of terminal value. Equity value = enterprise value + net cash (editable approximation). Per-share value = equity value / diluted shares.</t>
        </is>
      </c>
    </row>
    <row r="12" ht="35" customHeight="1">
      <c r="A12" s="3" t="inlineStr">
        <is>
          <t>Use carefully</t>
        </is>
      </c>
      <c r="B12" s="4" t="inlineStr">
        <is>
          <t>Do not compare Palantir adjusted free cash flow with GAAP FCFF without reconciling stock-based compensation and other adjustments. Model DCF uses normalized unlevered cash flow assumptions.</t>
        </is>
      </c>
    </row>
  </sheetData>
  <mergeCells count="2">
    <mergeCell ref="A2:B2"/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68" customWidth="1" min="4" max="4"/>
  </cols>
  <sheetData>
    <row r="1" ht="28" customHeight="1">
      <c r="A1" s="1" t="inlineStr">
        <is>
          <t>Editable Assumptions</t>
        </is>
      </c>
    </row>
    <row r="2" ht="30" customHeight="1">
      <c r="A2" s="2" t="inlineStr">
        <is>
          <t>Blue font cells are user-editable. Assumptions are illustrative unless explicitly labelled sourced.</t>
        </is>
      </c>
    </row>
    <row r="3"/>
    <row r="4">
      <c r="A4" s="5" t="inlineStr">
        <is>
          <t>Driver</t>
        </is>
      </c>
      <c r="B4" s="5" t="inlineStr">
        <is>
          <t>NVIDIA</t>
        </is>
      </c>
      <c r="C4" s="5" t="inlineStr">
        <is>
          <t>Palantir</t>
        </is>
      </c>
      <c r="D4" s="5" t="inlineStr">
        <is>
          <t>Basis / note</t>
        </is>
      </c>
    </row>
    <row r="5" ht="34" customHeight="1">
      <c r="A5" s="6" t="inlineStr">
        <is>
          <t>FY2027 / 2026 revenue base (USD bn)</t>
        </is>
      </c>
      <c r="B5" s="7" t="n">
        <v>350</v>
      </c>
      <c r="C5" s="7" t="n">
        <v>7.65</v>
      </c>
      <c r="D5" s="4" t="inlineStr">
        <is>
          <t>NVDA FY2027 base is illustrative; PLTR FY2026 revenue guidance midpoint from Q1 2026 release ($7.650–$7.662bn).</t>
        </is>
      </c>
    </row>
    <row r="6" ht="34" customHeight="1">
      <c r="A6" s="6" t="inlineStr">
        <is>
          <t>FY2028 / 2027 revenue growth</t>
        </is>
      </c>
      <c r="B6" s="8" t="n">
        <v>0.2</v>
      </c>
      <c r="C6" s="8" t="n">
        <v>0.5</v>
      </c>
      <c r="D6" s="4" t="inlineStr">
        <is>
          <t>Illustrative base-case forecast.</t>
        </is>
      </c>
    </row>
    <row r="7" ht="34" customHeight="1">
      <c r="A7" s="6" t="inlineStr">
        <is>
          <t>FY2029 / 2028 revenue growth</t>
        </is>
      </c>
      <c r="B7" s="8" t="n">
        <v>0.15</v>
      </c>
      <c r="C7" s="8" t="n">
        <v>0.35</v>
      </c>
      <c r="D7" s="4" t="inlineStr">
        <is>
          <t>Illustrative base-case forecast.</t>
        </is>
      </c>
    </row>
    <row r="8" ht="34" customHeight="1">
      <c r="A8" s="6" t="inlineStr">
        <is>
          <t>FY2030 / 2029 revenue growth</t>
        </is>
      </c>
      <c r="B8" s="8" t="n">
        <v>0.15</v>
      </c>
      <c r="C8" s="8" t="n">
        <v>0.28</v>
      </c>
      <c r="D8" s="4" t="inlineStr">
        <is>
          <t>Illustrative base-case forecast.</t>
        </is>
      </c>
    </row>
    <row r="9" ht="34" customHeight="1">
      <c r="A9" s="6" t="inlineStr">
        <is>
          <t>FY2031 / 2030 revenue growth</t>
        </is>
      </c>
      <c r="B9" s="8" t="n">
        <v>0.1</v>
      </c>
      <c r="C9" s="8" t="n">
        <v>0.22</v>
      </c>
      <c r="D9" s="4" t="inlineStr">
        <is>
          <t>Illustrative base-case forecast.</t>
        </is>
      </c>
    </row>
    <row r="10" ht="34" customHeight="1">
      <c r="A10" s="6" t="inlineStr">
        <is>
          <t>Gross margin - starting</t>
        </is>
      </c>
      <c r="B10" s="8" t="n">
        <v>0.75</v>
      </c>
      <c r="C10" s="8" t="n">
        <v>0.8</v>
      </c>
      <c r="D10" s="4" t="inlineStr">
        <is>
          <t>NVDA Q2 FY2027 reported GAAP gross margin 75%; PLTR 80% is a modeling assumption.</t>
        </is>
      </c>
    </row>
    <row r="11" ht="34" customHeight="1">
      <c r="A11" s="6" t="inlineStr">
        <is>
          <t>Gross margin annual change</t>
        </is>
      </c>
      <c r="B11" s="8" t="n">
        <v>-0.01</v>
      </c>
      <c r="C11" s="8" t="n">
        <v>0</v>
      </c>
      <c r="D11" s="4" t="inlineStr">
        <is>
          <t>Illustrative annual change in percentage points.</t>
        </is>
      </c>
    </row>
    <row r="12" ht="34" customHeight="1">
      <c r="A12" s="6" t="inlineStr">
        <is>
          <t>Operating margin - starting</t>
        </is>
      </c>
      <c r="B12" s="8" t="n">
        <v>0.6</v>
      </c>
      <c r="C12" s="8" t="n">
        <v>0.35</v>
      </c>
      <c r="D12" s="4" t="inlineStr">
        <is>
          <t>Illustrative normalized margin assumptions; NVDA Q2 GAAP operating margin was about 66.2%, PLTR Q2 GAAP op margin ~47% (actual quarter, not normalized).</t>
        </is>
      </c>
    </row>
    <row r="13" ht="34" customHeight="1">
      <c r="A13" s="6" t="inlineStr">
        <is>
          <t>Operating margin annual change</t>
        </is>
      </c>
      <c r="B13" s="8" t="n">
        <v>-0.02</v>
      </c>
      <c r="C13" s="8" t="n">
        <v>0.02</v>
      </c>
      <c r="D13" s="4" t="inlineStr">
        <is>
          <t>Illustrative annual change in percentage points.</t>
        </is>
      </c>
    </row>
    <row r="14" ht="34" customHeight="1">
      <c r="A14" s="6" t="inlineStr">
        <is>
          <t>Tax rate</t>
        </is>
      </c>
      <c r="B14" s="8" t="n">
        <v>0.17</v>
      </c>
      <c r="C14" s="8" t="n">
        <v>0.2</v>
      </c>
      <c r="D14" s="4" t="inlineStr">
        <is>
          <t>NVDA FY2027 company tax outlook 16–18%; PLTR normalized assumption.</t>
        </is>
      </c>
    </row>
    <row r="15" ht="34" customHeight="1">
      <c r="A15" s="6" t="inlineStr">
        <is>
          <t>D&amp;A as % revenue</t>
        </is>
      </c>
      <c r="B15" s="8" t="n">
        <v>0.025</v>
      </c>
      <c r="C15" s="8" t="n">
        <v>0.015</v>
      </c>
      <c r="D15" s="4" t="inlineStr">
        <is>
          <t>Illustrative assumption.</t>
        </is>
      </c>
    </row>
    <row r="16" ht="34" customHeight="1">
      <c r="A16" s="6" t="inlineStr">
        <is>
          <t>CapEx as % revenue</t>
        </is>
      </c>
      <c r="B16" s="8" t="n">
        <v>0.035</v>
      </c>
      <c r="C16" s="8" t="n">
        <v>0.01</v>
      </c>
      <c r="D16" s="4" t="inlineStr">
        <is>
          <t>Illustrative assumption.</t>
        </is>
      </c>
    </row>
    <row r="17" ht="34" customHeight="1">
      <c r="A17" s="6" t="inlineStr">
        <is>
          <t>Change in NWC as % incremental revenue</t>
        </is>
      </c>
      <c r="B17" s="8" t="n">
        <v>0.03</v>
      </c>
      <c r="C17" s="8" t="n">
        <v>0.02</v>
      </c>
      <c r="D17" s="4" t="inlineStr">
        <is>
          <t>Illustrative assumption.</t>
        </is>
      </c>
    </row>
    <row r="18" ht="34" customHeight="1">
      <c r="A18" s="6" t="inlineStr">
        <is>
          <t>WACC</t>
        </is>
      </c>
      <c r="B18" s="7" t="n">
        <v>0.09</v>
      </c>
      <c r="C18" s="7" t="n">
        <v>0.095</v>
      </c>
      <c r="D18" s="4" t="inlineStr">
        <is>
          <t>Illustrative discount-rate assumption; not a calculated market WACC.</t>
        </is>
      </c>
    </row>
    <row r="19" ht="34" customHeight="1">
      <c r="A19" s="6" t="inlineStr">
        <is>
          <t>Terminal growth rate</t>
        </is>
      </c>
      <c r="B19" s="8" t="n">
        <v>0.03</v>
      </c>
      <c r="C19" s="8" t="n">
        <v>0.035</v>
      </c>
      <c r="D19" s="4" t="inlineStr">
        <is>
          <t>Illustrative perpetual growth assumption; must remain below WACC.</t>
        </is>
      </c>
    </row>
    <row r="20" ht="34" customHeight="1">
      <c r="A20" s="6" t="inlineStr">
        <is>
          <t>Net cash / (debt), USD bn</t>
        </is>
      </c>
      <c r="B20" s="7" t="n">
        <v>50</v>
      </c>
      <c r="C20" s="7" t="n">
        <v>8</v>
      </c>
      <c r="D20" s="4" t="inlineStr">
        <is>
          <t>Editable approximation. PLTR based on Q1 2026 cash + marketable securities ~$8.03bn, before other debt/liability considerations. NVDA placeholder; update from latest balance sheet.</t>
        </is>
      </c>
    </row>
    <row r="21" ht="34" customHeight="1">
      <c r="A21" s="6" t="inlineStr">
        <is>
          <t>Diluted shares (bn)</t>
        </is>
      </c>
      <c r="B21" s="9" t="n">
        <v>24.3</v>
      </c>
      <c r="C21" s="9" t="n">
        <v>2.571</v>
      </c>
      <c r="D21" s="4" t="inlineStr">
        <is>
          <t>NVDA based on Q2 FY2027 weighted-average diluted shares ~24.285bn. PLTR based on Q1 2026 diluted weighted-average shares ~2.571bn. Update for current share count.</t>
        </is>
      </c>
    </row>
    <row r="22" ht="34" customHeight="1">
      <c r="A22" s="6" t="inlineStr">
        <is>
          <t>Current share price ($)</t>
        </is>
      </c>
      <c r="B22" s="10" t="n">
        <v>180</v>
      </c>
      <c r="C22" s="10" t="n">
        <v>150</v>
      </c>
      <c r="D22" s="4" t="inlineStr">
        <is>
          <t>Placeholder only — not a live quote. Replace with current market price before using implied upside.</t>
        </is>
      </c>
    </row>
  </sheetData>
  <autoFilter ref="A1:D22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NVIDIA — Operating Model</t>
        </is>
      </c>
    </row>
    <row r="2" ht="30" customHeight="1">
      <c r="A2" s="2" t="inlineStr">
        <is>
          <t>USD billions, except growth/margins. Green = reported actual / guidance; yellow = forecast assumptions or modeled estimates.</t>
        </is>
      </c>
    </row>
    <row r="3"/>
    <row r="4">
      <c r="A4" s="5" t="inlineStr">
        <is>
          <t>Metric</t>
        </is>
      </c>
      <c r="B4" s="5" t="inlineStr">
        <is>
          <t>FY2027E</t>
        </is>
      </c>
      <c r="C4" s="5" t="inlineStr">
        <is>
          <t>FY2028E</t>
        </is>
      </c>
      <c r="D4" s="5" t="inlineStr">
        <is>
          <t>FY2029E</t>
        </is>
      </c>
      <c r="E4" s="5" t="inlineStr">
        <is>
          <t>FY2030E</t>
        </is>
      </c>
      <c r="F4" s="5" t="inlineStr">
        <is>
          <t>FY2031E</t>
        </is>
      </c>
    </row>
    <row r="5">
      <c r="A5" s="11" t="inlineStr">
        <is>
          <t>Revenue</t>
        </is>
      </c>
      <c r="B5" s="12">
        <f>Assumptions!B5</f>
        <v/>
      </c>
      <c r="C5" s="12">
        <f>B5*(1+Assumptions!B6)</f>
        <v/>
      </c>
      <c r="D5" s="12">
        <f>C5*(1+Assumptions!B7)</f>
        <v/>
      </c>
      <c r="E5" s="12">
        <f>D5*(1+Assumptions!B8)</f>
        <v/>
      </c>
      <c r="F5" s="12">
        <f>E5*(1+Assumptions!B9)</f>
        <v/>
      </c>
    </row>
    <row r="6">
      <c r="A6" s="13" t="inlineStr">
        <is>
          <t>Revenue growth</t>
        </is>
      </c>
      <c r="B6" s="14">
        <f>NA()</f>
        <v/>
      </c>
      <c r="C6" s="14">
        <f>Assumptions!B6</f>
        <v/>
      </c>
      <c r="D6" s="14">
        <f>Assumptions!B7</f>
        <v/>
      </c>
      <c r="E6" s="14">
        <f>Assumptions!B8</f>
        <v/>
      </c>
      <c r="F6" s="14">
        <f>Assumptions!B9</f>
        <v/>
      </c>
    </row>
    <row r="7">
      <c r="A7" s="13" t="inlineStr">
        <is>
          <t>Gross margin</t>
        </is>
      </c>
      <c r="B7" s="14">
        <f>Assumptions!B10+0*Assumptions!B11</f>
        <v/>
      </c>
      <c r="C7" s="14">
        <f>Assumptions!B10+1*Assumptions!B11</f>
        <v/>
      </c>
      <c r="D7" s="14">
        <f>Assumptions!B10+2*Assumptions!B11</f>
        <v/>
      </c>
      <c r="E7" s="14">
        <f>Assumptions!B10+3*Assumptions!B11</f>
        <v/>
      </c>
      <c r="F7" s="14">
        <f>Assumptions!B10+4*Assumptions!B11</f>
        <v/>
      </c>
    </row>
    <row r="8">
      <c r="A8" s="13" t="inlineStr">
        <is>
          <t>Gross profit</t>
        </is>
      </c>
      <c r="B8" s="15">
        <f>B5*B7</f>
        <v/>
      </c>
      <c r="C8" s="15">
        <f>C5*C7</f>
        <v/>
      </c>
      <c r="D8" s="15">
        <f>D5*D7</f>
        <v/>
      </c>
      <c r="E8" s="15">
        <f>E5*E7</f>
        <v/>
      </c>
      <c r="F8" s="15">
        <f>F5*F7</f>
        <v/>
      </c>
    </row>
    <row r="9">
      <c r="A9" s="13" t="inlineStr">
        <is>
          <t>Operating margin</t>
        </is>
      </c>
      <c r="B9" s="14">
        <f>Assumptions!B12+0*Assumptions!B13</f>
        <v/>
      </c>
      <c r="C9" s="14">
        <f>Assumptions!B12+1*Assumptions!B13</f>
        <v/>
      </c>
      <c r="D9" s="14">
        <f>Assumptions!B12+2*Assumptions!B13</f>
        <v/>
      </c>
      <c r="E9" s="14">
        <f>Assumptions!B12+3*Assumptions!B13</f>
        <v/>
      </c>
      <c r="F9" s="14">
        <f>Assumptions!B12+4*Assumptions!B13</f>
        <v/>
      </c>
    </row>
    <row r="10">
      <c r="A10" s="11" t="inlineStr">
        <is>
          <t>Operating income (EBIT)</t>
        </is>
      </c>
      <c r="B10" s="15">
        <f>B5*B9</f>
        <v/>
      </c>
      <c r="C10" s="15">
        <f>C5*C9</f>
        <v/>
      </c>
      <c r="D10" s="15">
        <f>D5*D9</f>
        <v/>
      </c>
      <c r="E10" s="15">
        <f>E5*E9</f>
        <v/>
      </c>
      <c r="F10" s="15">
        <f>F5*F9</f>
        <v/>
      </c>
    </row>
    <row r="11">
      <c r="A11" s="13" t="inlineStr">
        <is>
          <t>Tax rate</t>
        </is>
      </c>
      <c r="B11" s="14">
        <f>Assumptions!B14</f>
        <v/>
      </c>
      <c r="C11" s="14">
        <f>Assumptions!B14</f>
        <v/>
      </c>
      <c r="D11" s="14">
        <f>Assumptions!B14</f>
        <v/>
      </c>
      <c r="E11" s="14">
        <f>Assumptions!B14</f>
        <v/>
      </c>
      <c r="F11" s="14">
        <f>Assumptions!B14</f>
        <v/>
      </c>
    </row>
    <row r="12">
      <c r="A12" s="13" t="inlineStr">
        <is>
          <t>NOPAT</t>
        </is>
      </c>
      <c r="B12" s="15">
        <f>B10*(1-B11)</f>
        <v/>
      </c>
      <c r="C12" s="15">
        <f>C10*(1-C11)</f>
        <v/>
      </c>
      <c r="D12" s="15">
        <f>D10*(1-D11)</f>
        <v/>
      </c>
      <c r="E12" s="15">
        <f>E10*(1-E11)</f>
        <v/>
      </c>
      <c r="F12" s="15">
        <f>F10*(1-F11)</f>
        <v/>
      </c>
    </row>
    <row r="13">
      <c r="A13" s="13" t="inlineStr">
        <is>
          <t>D&amp;A</t>
        </is>
      </c>
      <c r="B13" s="15">
        <f>B5*Assumptions!B15</f>
        <v/>
      </c>
      <c r="C13" s="15">
        <f>C5*Assumptions!B15</f>
        <v/>
      </c>
      <c r="D13" s="15">
        <f>D5*Assumptions!B15</f>
        <v/>
      </c>
      <c r="E13" s="15">
        <f>E5*Assumptions!B15</f>
        <v/>
      </c>
      <c r="F13" s="15">
        <f>F5*Assumptions!B15</f>
        <v/>
      </c>
    </row>
    <row r="14">
      <c r="A14" s="13" t="inlineStr">
        <is>
          <t>CapEx</t>
        </is>
      </c>
      <c r="B14" s="15">
        <f>B5*Assumptions!B16</f>
        <v/>
      </c>
      <c r="C14" s="15">
        <f>C5*Assumptions!B16</f>
        <v/>
      </c>
      <c r="D14" s="15">
        <f>D5*Assumptions!B16</f>
        <v/>
      </c>
      <c r="E14" s="15">
        <f>E5*Assumptions!B16</f>
        <v/>
      </c>
      <c r="F14" s="15">
        <f>F5*Assumptions!B16</f>
        <v/>
      </c>
    </row>
    <row r="15">
      <c r="A15" s="13" t="inlineStr">
        <is>
          <t>Change in NWC</t>
        </is>
      </c>
      <c r="B15" s="15" t="n">
        <v>0</v>
      </c>
      <c r="C15" s="15">
        <f>(C5-B5)*Assumptions!B17</f>
        <v/>
      </c>
      <c r="D15" s="15">
        <f>(D5-C5)*Assumptions!B17</f>
        <v/>
      </c>
      <c r="E15" s="15">
        <f>(E5-D5)*Assumptions!B17</f>
        <v/>
      </c>
      <c r="F15" s="15">
        <f>(F5-E5)*Assumptions!B17</f>
        <v/>
      </c>
    </row>
    <row r="16">
      <c r="A16" s="11" t="inlineStr">
        <is>
          <t>Unlevered free cash flow</t>
        </is>
      </c>
      <c r="B16" s="15">
        <f>B12+B13-B14-B15</f>
        <v/>
      </c>
      <c r="C16" s="15">
        <f>C12+C13-C14-C15</f>
        <v/>
      </c>
      <c r="D16" s="15">
        <f>D12+D13-D14-D15</f>
        <v/>
      </c>
      <c r="E16" s="15">
        <f>E12+E13-E14-E15</f>
        <v/>
      </c>
      <c r="F16" s="15">
        <f>F12+F13-F14-F15</f>
        <v/>
      </c>
    </row>
    <row r="17">
      <c r="A17" s="13" t="inlineStr">
        <is>
          <t>FCFF margin</t>
        </is>
      </c>
      <c r="B17" s="14">
        <f>B16/B5</f>
        <v/>
      </c>
      <c r="C17" s="14">
        <f>C16/C5</f>
        <v/>
      </c>
      <c r="D17" s="14">
        <f>D16/D5</f>
        <v/>
      </c>
      <c r="E17" s="14">
        <f>E16/E5</f>
        <v/>
      </c>
      <c r="F17" s="14">
        <f>F16/F5</f>
        <v/>
      </c>
    </row>
    <row r="18"/>
    <row r="19"/>
    <row r="20">
      <c r="A20" s="16" t="inlineStr">
        <is>
          <t>Reported data anchors (not forecast)</t>
        </is>
      </c>
    </row>
    <row r="21" ht="32" customHeight="1">
      <c r="A21" s="6" t="inlineStr">
        <is>
          <t>Q2 FY2027 revenue</t>
        </is>
      </c>
      <c r="B21" s="17" t="n">
        <v>96.221</v>
      </c>
      <c r="C21" s="4" t="inlineStr">
        <is>
          <t>Reported quarter ended Jul 26, 2026; source link in Sources.</t>
        </is>
      </c>
    </row>
    <row r="22" ht="32" customHeight="1">
      <c r="A22" s="6" t="inlineStr">
        <is>
          <t>Q2 FY2027 GAAP gross margin</t>
        </is>
      </c>
      <c r="B22" s="17" t="n">
        <v>0.75</v>
      </c>
      <c r="C22" s="4" t="inlineStr">
        <is>
          <t>Reported.</t>
        </is>
      </c>
    </row>
    <row r="23" ht="32" customHeight="1">
      <c r="A23" s="6" t="inlineStr">
        <is>
          <t>Q2 FY2027 GAAP operating income</t>
        </is>
      </c>
      <c r="B23" s="17" t="n">
        <v>63.734</v>
      </c>
      <c r="C23" s="4" t="inlineStr">
        <is>
          <t>Reported.</t>
        </is>
      </c>
    </row>
    <row r="24" ht="32" customHeight="1">
      <c r="A24" s="6" t="inlineStr">
        <is>
          <t>Q2 FY2027 GAAP net income</t>
        </is>
      </c>
      <c r="B24" s="17" t="n">
        <v>59.688</v>
      </c>
      <c r="C24" s="4" t="inlineStr">
        <is>
          <t>Reported.</t>
        </is>
      </c>
    </row>
    <row r="25" ht="32" customHeight="1">
      <c r="A25" s="6" t="inlineStr">
        <is>
          <t>H1 FY2027 revenue</t>
        </is>
      </c>
      <c r="B25" s="17" t="n">
        <v>177.837</v>
      </c>
      <c r="C25" s="4" t="inlineStr">
        <is>
          <t>Reported six months ended Jul 26, 2026.</t>
        </is>
      </c>
    </row>
    <row r="26" ht="32" customHeight="1">
      <c r="A26" s="6" t="inlineStr">
        <is>
          <t>H1 FY2027 GAAP operating income</t>
        </is>
      </c>
      <c r="B26" s="17" t="n">
        <v>117.27</v>
      </c>
      <c r="C26" s="4" t="inlineStr">
        <is>
          <t>Reported six months ended Jul 26, 2026.</t>
        </is>
      </c>
    </row>
    <row r="27" ht="32" customHeight="1">
      <c r="A27" s="6" t="inlineStr">
        <is>
          <t>H1 FY2027 free cash flow</t>
        </is>
      </c>
      <c r="B27" s="17" t="n">
        <v>69.895</v>
      </c>
      <c r="C27" s="4" t="inlineStr">
        <is>
          <t>Reported company free cash flow for first six months; non-GAAP-defined company measure.</t>
        </is>
      </c>
    </row>
  </sheetData>
  <mergeCells count="10">
    <mergeCell ref="C21:G21"/>
    <mergeCell ref="A1:G1"/>
    <mergeCell ref="C24:G24"/>
    <mergeCell ref="A20:D20"/>
    <mergeCell ref="C25:G25"/>
    <mergeCell ref="C27:G27"/>
    <mergeCell ref="A2:G2"/>
    <mergeCell ref="C23:G23"/>
    <mergeCell ref="C22:G22"/>
    <mergeCell ref="C26:G2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Palantir — Operating Model</t>
        </is>
      </c>
    </row>
    <row r="2" ht="30" customHeight="1">
      <c r="A2" s="2" t="inlineStr">
        <is>
          <t>USD billions, except growth/margins. Green = reported actual / guidance; yellow = forecast assumptions or modeled estimates.</t>
        </is>
      </c>
    </row>
    <row r="3"/>
    <row r="4">
      <c r="A4" s="5" t="inlineStr">
        <is>
          <t>Metric</t>
        </is>
      </c>
      <c r="B4" s="5" t="inlineStr">
        <is>
          <t>2026E</t>
        </is>
      </c>
      <c r="C4" s="5" t="inlineStr">
        <is>
          <t>2027E</t>
        </is>
      </c>
      <c r="D4" s="5" t="inlineStr">
        <is>
          <t>2028E</t>
        </is>
      </c>
      <c r="E4" s="5" t="inlineStr">
        <is>
          <t>2029E</t>
        </is>
      </c>
      <c r="F4" s="5" t="inlineStr">
        <is>
          <t>2030E</t>
        </is>
      </c>
    </row>
    <row r="5">
      <c r="A5" s="11" t="inlineStr">
        <is>
          <t>Revenue</t>
        </is>
      </c>
      <c r="B5" s="12">
        <f>Assumptions!C5</f>
        <v/>
      </c>
      <c r="C5" s="12">
        <f>B5*(1+Assumptions!C6)</f>
        <v/>
      </c>
      <c r="D5" s="12">
        <f>C5*(1+Assumptions!C7)</f>
        <v/>
      </c>
      <c r="E5" s="12">
        <f>D5*(1+Assumptions!C8)</f>
        <v/>
      </c>
      <c r="F5" s="12">
        <f>E5*(1+Assumptions!C9)</f>
        <v/>
      </c>
    </row>
    <row r="6">
      <c r="A6" s="13" t="inlineStr">
        <is>
          <t>Revenue growth</t>
        </is>
      </c>
      <c r="B6" s="14">
        <f>NA()</f>
        <v/>
      </c>
      <c r="C6" s="14">
        <f>Assumptions!C6</f>
        <v/>
      </c>
      <c r="D6" s="14">
        <f>Assumptions!C7</f>
        <v/>
      </c>
      <c r="E6" s="14">
        <f>Assumptions!C8</f>
        <v/>
      </c>
      <c r="F6" s="14">
        <f>Assumptions!C9</f>
        <v/>
      </c>
    </row>
    <row r="7">
      <c r="A7" s="13" t="inlineStr">
        <is>
          <t>Gross margin</t>
        </is>
      </c>
      <c r="B7" s="14">
        <f>Assumptions!C10+0*Assumptions!C11</f>
        <v/>
      </c>
      <c r="C7" s="14">
        <f>Assumptions!C10+1*Assumptions!C11</f>
        <v/>
      </c>
      <c r="D7" s="14">
        <f>Assumptions!C10+2*Assumptions!C11</f>
        <v/>
      </c>
      <c r="E7" s="14">
        <f>Assumptions!C10+3*Assumptions!C11</f>
        <v/>
      </c>
      <c r="F7" s="14">
        <f>Assumptions!C10+4*Assumptions!C11</f>
        <v/>
      </c>
    </row>
    <row r="8">
      <c r="A8" s="13" t="inlineStr">
        <is>
          <t>Gross profit</t>
        </is>
      </c>
      <c r="B8" s="15">
        <f>B5*B7</f>
        <v/>
      </c>
      <c r="C8" s="15">
        <f>C5*C7</f>
        <v/>
      </c>
      <c r="D8" s="15">
        <f>D5*D7</f>
        <v/>
      </c>
      <c r="E8" s="15">
        <f>E5*E7</f>
        <v/>
      </c>
      <c r="F8" s="15">
        <f>F5*F7</f>
        <v/>
      </c>
    </row>
    <row r="9">
      <c r="A9" s="13" t="inlineStr">
        <is>
          <t>Operating margin</t>
        </is>
      </c>
      <c r="B9" s="14">
        <f>Assumptions!C12+0*Assumptions!C13</f>
        <v/>
      </c>
      <c r="C9" s="14">
        <f>Assumptions!C12+1*Assumptions!C13</f>
        <v/>
      </c>
      <c r="D9" s="14">
        <f>Assumptions!C12+2*Assumptions!C13</f>
        <v/>
      </c>
      <c r="E9" s="14">
        <f>Assumptions!C12+3*Assumptions!C13</f>
        <v/>
      </c>
      <c r="F9" s="14">
        <f>Assumptions!C12+4*Assumptions!C13</f>
        <v/>
      </c>
    </row>
    <row r="10">
      <c r="A10" s="11" t="inlineStr">
        <is>
          <t>Operating income (EBIT)</t>
        </is>
      </c>
      <c r="B10" s="15">
        <f>B5*B9</f>
        <v/>
      </c>
      <c r="C10" s="15">
        <f>C5*C9</f>
        <v/>
      </c>
      <c r="D10" s="15">
        <f>D5*D9</f>
        <v/>
      </c>
      <c r="E10" s="15">
        <f>E5*E9</f>
        <v/>
      </c>
      <c r="F10" s="15">
        <f>F5*F9</f>
        <v/>
      </c>
    </row>
    <row r="11">
      <c r="A11" s="13" t="inlineStr">
        <is>
          <t>Tax rate</t>
        </is>
      </c>
      <c r="B11" s="14">
        <f>Assumptions!C14</f>
        <v/>
      </c>
      <c r="C11" s="14">
        <f>Assumptions!C14</f>
        <v/>
      </c>
      <c r="D11" s="14">
        <f>Assumptions!C14</f>
        <v/>
      </c>
      <c r="E11" s="14">
        <f>Assumptions!C14</f>
        <v/>
      </c>
      <c r="F11" s="14">
        <f>Assumptions!C14</f>
        <v/>
      </c>
    </row>
    <row r="12">
      <c r="A12" s="13" t="inlineStr">
        <is>
          <t>NOPAT</t>
        </is>
      </c>
      <c r="B12" s="15">
        <f>B10*(1-B11)</f>
        <v/>
      </c>
      <c r="C12" s="15">
        <f>C10*(1-C11)</f>
        <v/>
      </c>
      <c r="D12" s="15">
        <f>D10*(1-D11)</f>
        <v/>
      </c>
      <c r="E12" s="15">
        <f>E10*(1-E11)</f>
        <v/>
      </c>
      <c r="F12" s="15">
        <f>F10*(1-F11)</f>
        <v/>
      </c>
    </row>
    <row r="13">
      <c r="A13" s="13" t="inlineStr">
        <is>
          <t>D&amp;A</t>
        </is>
      </c>
      <c r="B13" s="15">
        <f>B5*Assumptions!C15</f>
        <v/>
      </c>
      <c r="C13" s="15">
        <f>C5*Assumptions!C15</f>
        <v/>
      </c>
      <c r="D13" s="15">
        <f>D5*Assumptions!C15</f>
        <v/>
      </c>
      <c r="E13" s="15">
        <f>E5*Assumptions!C15</f>
        <v/>
      </c>
      <c r="F13" s="15">
        <f>F5*Assumptions!C15</f>
        <v/>
      </c>
    </row>
    <row r="14">
      <c r="A14" s="13" t="inlineStr">
        <is>
          <t>CapEx</t>
        </is>
      </c>
      <c r="B14" s="15">
        <f>B5*Assumptions!C16</f>
        <v/>
      </c>
      <c r="C14" s="15">
        <f>C5*Assumptions!C16</f>
        <v/>
      </c>
      <c r="D14" s="15">
        <f>D5*Assumptions!C16</f>
        <v/>
      </c>
      <c r="E14" s="15">
        <f>E5*Assumptions!C16</f>
        <v/>
      </c>
      <c r="F14" s="15">
        <f>F5*Assumptions!C16</f>
        <v/>
      </c>
    </row>
    <row r="15">
      <c r="A15" s="13" t="inlineStr">
        <is>
          <t>Change in NWC</t>
        </is>
      </c>
      <c r="B15" s="15" t="n">
        <v>0</v>
      </c>
      <c r="C15" s="15">
        <f>(C5-B5)*Assumptions!C17</f>
        <v/>
      </c>
      <c r="D15" s="15">
        <f>(D5-C5)*Assumptions!C17</f>
        <v/>
      </c>
      <c r="E15" s="15">
        <f>(E5-D5)*Assumptions!C17</f>
        <v/>
      </c>
      <c r="F15" s="15">
        <f>(F5-E5)*Assumptions!C17</f>
        <v/>
      </c>
    </row>
    <row r="16">
      <c r="A16" s="11" t="inlineStr">
        <is>
          <t>Unlevered free cash flow</t>
        </is>
      </c>
      <c r="B16" s="15">
        <f>B12+B13-B14-B15</f>
        <v/>
      </c>
      <c r="C16" s="15">
        <f>C12+C13-C14-C15</f>
        <v/>
      </c>
      <c r="D16" s="15">
        <f>D12+D13-D14-D15</f>
        <v/>
      </c>
      <c r="E16" s="15">
        <f>E12+E13-E14-E15</f>
        <v/>
      </c>
      <c r="F16" s="15">
        <f>F12+F13-F14-F15</f>
        <v/>
      </c>
    </row>
    <row r="17">
      <c r="A17" s="13" t="inlineStr">
        <is>
          <t>FCFF margin</t>
        </is>
      </c>
      <c r="B17" s="14">
        <f>B16/B5</f>
        <v/>
      </c>
      <c r="C17" s="14">
        <f>C16/C5</f>
        <v/>
      </c>
      <c r="D17" s="14">
        <f>D16/D5</f>
        <v/>
      </c>
      <c r="E17" s="14">
        <f>E16/E5</f>
        <v/>
      </c>
      <c r="F17" s="14">
        <f>F16/F5</f>
        <v/>
      </c>
    </row>
    <row r="18"/>
    <row r="19"/>
    <row r="20">
      <c r="A20" s="16" t="inlineStr">
        <is>
          <t>Reported data anchors (not forecast)</t>
        </is>
      </c>
    </row>
    <row r="21" ht="32" customHeight="1">
      <c r="A21" s="6" t="inlineStr">
        <is>
          <t>Q2 2026 revenue</t>
        </is>
      </c>
      <c r="B21" s="17" t="n">
        <v>1.94</v>
      </c>
      <c r="C21" s="4" t="inlineStr">
        <is>
          <t>Reported; Q2 Business Update.</t>
        </is>
      </c>
    </row>
    <row r="22" ht="32" customHeight="1">
      <c r="A22" s="6" t="inlineStr">
        <is>
          <t>Q2 2026 adjusted free cash flow</t>
        </is>
      </c>
      <c r="B22" s="17" t="n">
        <v>1.22</v>
      </c>
      <c r="C22" s="4" t="inlineStr">
        <is>
          <t>Reported non-GAAP adjusted FCF; do not equate with GAAP FCFF.</t>
        </is>
      </c>
    </row>
    <row r="23" ht="32" customHeight="1">
      <c r="A23" s="6" t="inlineStr">
        <is>
          <t>Q2 2026 adjusted operating income</t>
        </is>
      </c>
      <c r="B23" s="17" t="n">
        <v>1.19</v>
      </c>
      <c r="C23" s="4" t="inlineStr">
        <is>
          <t>Reported non-GAAP adjusted operating income.</t>
        </is>
      </c>
    </row>
    <row r="24" ht="32" customHeight="1">
      <c r="A24" s="6" t="inlineStr">
        <is>
          <t>Q1 2026 revenue</t>
        </is>
      </c>
      <c r="B24" s="17" t="n">
        <v>1.633</v>
      </c>
      <c r="C24" s="4" t="inlineStr">
        <is>
          <t>Reported quarter ended Mar 31, 2026.</t>
        </is>
      </c>
    </row>
    <row r="25" ht="32" customHeight="1">
      <c r="A25" s="6" t="inlineStr">
        <is>
          <t>Q1 2026 GAAP operating income</t>
        </is>
      </c>
      <c r="B25" s="17" t="n">
        <v>0.754</v>
      </c>
      <c r="C25" s="4" t="inlineStr">
        <is>
          <t>Reported quarter ended Mar 31, 2026.</t>
        </is>
      </c>
    </row>
    <row r="26" ht="32" customHeight="1">
      <c r="A26" s="6" t="inlineStr">
        <is>
          <t>Q1 2026 cash + marketable securities</t>
        </is>
      </c>
      <c r="B26" s="17" t="n">
        <v>8.026</v>
      </c>
      <c r="C26" s="4" t="inlineStr">
        <is>
          <t>Reported balance sheet at Mar 31, 2026.</t>
        </is>
      </c>
    </row>
  </sheetData>
  <mergeCells count="9">
    <mergeCell ref="C21:G21"/>
    <mergeCell ref="A1:G1"/>
    <mergeCell ref="C24:G24"/>
    <mergeCell ref="A20:D20"/>
    <mergeCell ref="C25:G25"/>
    <mergeCell ref="A2:G2"/>
    <mergeCell ref="C23:G23"/>
    <mergeCell ref="C22:G22"/>
    <mergeCell ref="C26:G2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DCF Valuation &amp; Sensitivity</t>
        </is>
      </c>
    </row>
    <row r="2" ht="30" customHeight="1">
      <c r="A2" s="2" t="inlineStr">
        <is>
          <t>Base-case FCFF DCF; outputs are model-driven and depend on editable assumptions.</t>
        </is>
      </c>
    </row>
    <row r="3"/>
    <row r="4">
      <c r="A4" s="5" t="inlineStr">
        <is>
          <t>Valuation metric</t>
        </is>
      </c>
      <c r="B4" s="5" t="inlineStr">
        <is>
          <t>NVIDIA</t>
        </is>
      </c>
      <c r="C4" s="5" t="inlineStr">
        <is>
          <t>Palantir</t>
        </is>
      </c>
    </row>
    <row r="5">
      <c r="A5" s="6" t="inlineStr">
        <is>
          <t>WACC</t>
        </is>
      </c>
      <c r="B5" s="18">
        <f>Assumptions!B18</f>
        <v/>
      </c>
      <c r="C5" s="18">
        <f>Assumptions!C18</f>
        <v/>
      </c>
    </row>
    <row r="6">
      <c r="A6" s="6" t="inlineStr">
        <is>
          <t>Terminal growth</t>
        </is>
      </c>
      <c r="B6" s="18">
        <f>Assumptions!B19</f>
        <v/>
      </c>
      <c r="C6" s="18">
        <f>Assumptions!C19</f>
        <v/>
      </c>
    </row>
    <row r="7">
      <c r="A7" s="6" t="inlineStr">
        <is>
          <t>PV of forecast FCFF</t>
        </is>
      </c>
      <c r="B7" s="6">
        <f>SUMPRODUCT('NVIDIA Model'!B16:F16,1/(1+B5)^{1,2,3,4,5})</f>
        <v/>
      </c>
      <c r="C7" s="6">
        <f>SUMPRODUCT('Palantir Model'!B16:F16,1/(1+C5)^{1,2,3,4,5})</f>
        <v/>
      </c>
    </row>
    <row r="8">
      <c r="A8" s="6" t="inlineStr">
        <is>
          <t>Terminal value</t>
        </is>
      </c>
      <c r="B8" s="6">
        <f>'NVIDIA Model'!F16*(1+B6)/(B5-B6)</f>
        <v/>
      </c>
      <c r="C8" s="6">
        <f>'Palantir Model'!F16*(1+C6)/(C5-C6)</f>
        <v/>
      </c>
    </row>
    <row r="9">
      <c r="A9" s="6" t="inlineStr">
        <is>
          <t>PV of terminal value</t>
        </is>
      </c>
      <c r="B9" s="6">
        <f>B8/(1+B5)^5</f>
        <v/>
      </c>
      <c r="C9" s="6">
        <f>C8/(1+C5)^5</f>
        <v/>
      </c>
    </row>
    <row r="10">
      <c r="A10" s="6" t="inlineStr">
        <is>
          <t>Enterprise value</t>
        </is>
      </c>
      <c r="B10" s="6">
        <f>B7+B9</f>
        <v/>
      </c>
      <c r="C10" s="6">
        <f>C7+C9</f>
        <v/>
      </c>
    </row>
    <row r="11">
      <c r="A11" s="6" t="inlineStr">
        <is>
          <t>Net cash / (debt)</t>
        </is>
      </c>
      <c r="B11" s="6">
        <f>Assumptions!B20</f>
        <v/>
      </c>
      <c r="C11" s="6">
        <f>Assumptions!C20</f>
        <v/>
      </c>
    </row>
    <row r="12">
      <c r="A12" s="6" t="inlineStr">
        <is>
          <t>Equity value</t>
        </is>
      </c>
      <c r="B12" s="6">
        <f>B10+B11</f>
        <v/>
      </c>
      <c r="C12" s="6">
        <f>C10+C11</f>
        <v/>
      </c>
    </row>
    <row r="13">
      <c r="A13" s="6" t="inlineStr">
        <is>
          <t>Diluted shares (bn)</t>
        </is>
      </c>
      <c r="B13" s="6">
        <f>Assumptions!B21</f>
        <v/>
      </c>
      <c r="C13" s="6">
        <f>Assumptions!C21</f>
        <v/>
      </c>
    </row>
    <row r="14">
      <c r="A14" s="19" t="inlineStr">
        <is>
          <t>Implied value per share</t>
        </is>
      </c>
      <c r="B14" s="20">
        <f>B12/B13</f>
        <v/>
      </c>
      <c r="C14" s="20">
        <f>C12/C13</f>
        <v/>
      </c>
    </row>
    <row r="15">
      <c r="A15" s="6" t="inlineStr">
        <is>
          <t>Placeholder current share price</t>
        </is>
      </c>
      <c r="B15" s="21">
        <f>Assumptions!B22</f>
        <v/>
      </c>
      <c r="C15" s="21">
        <f>Assumptions!C22</f>
        <v/>
      </c>
    </row>
    <row r="16">
      <c r="A16" s="22" t="inlineStr">
        <is>
          <t>Implied upside / (downside)</t>
        </is>
      </c>
      <c r="B16" s="23">
        <f>B14/B15-1</f>
        <v/>
      </c>
      <c r="C16" s="23">
        <f>C14/C15-1</f>
        <v/>
      </c>
    </row>
    <row r="17"/>
    <row r="18"/>
    <row r="19">
      <c r="A19" s="16" t="inlineStr">
        <is>
          <t>Sensitivity: implied value per share — NVIDIA</t>
        </is>
      </c>
    </row>
    <row r="20">
      <c r="A20" s="5" t="inlineStr">
        <is>
          <t>WACC \ g</t>
        </is>
      </c>
      <c r="B20" s="24" t="n">
        <v>0.02</v>
      </c>
      <c r="C20" s="24" t="n">
        <v>0.025</v>
      </c>
      <c r="D20" s="24" t="n">
        <v>0.03</v>
      </c>
      <c r="E20" s="24" t="n">
        <v>0.035</v>
      </c>
      <c r="F20" s="24" t="n">
        <v>0.04</v>
      </c>
    </row>
    <row r="21">
      <c r="A21" s="18" t="n">
        <v>0.075</v>
      </c>
      <c r="B21" s="21">
        <f>(SUMPRODUCT('NVIDIA Model'!$B$16:$F$16,1/(1+$A21)^{1,2,3,4,5})+('NVIDIA Model'!$F$16*(1+B$20)/($A21-B$20))/(1+$A21)^5+Assumptions!$B$20)/Assumptions!$B$21</f>
        <v/>
      </c>
      <c r="C21" s="21">
        <f>(SUMPRODUCT('NVIDIA Model'!$B$16:$F$16,1/(1+$A21)^{1,2,3,4,5})+('NVIDIA Model'!$F$16*(1+C$20)/($A21-C$20))/(1+$A21)^5+Assumptions!$B$20)/Assumptions!$B$21</f>
        <v/>
      </c>
      <c r="D21" s="21">
        <f>(SUMPRODUCT('NVIDIA Model'!$B$16:$F$16,1/(1+$A21)^{1,2,3,4,5})+('NVIDIA Model'!$F$16*(1+D$20)/($A21-D$20))/(1+$A21)^5+Assumptions!$B$20)/Assumptions!$B$21</f>
        <v/>
      </c>
      <c r="E21" s="21">
        <f>(SUMPRODUCT('NVIDIA Model'!$B$16:$F$16,1/(1+$A21)^{1,2,3,4,5})+('NVIDIA Model'!$F$16*(1+E$20)/($A21-E$20))/(1+$A21)^5+Assumptions!$B$20)/Assumptions!$B$21</f>
        <v/>
      </c>
      <c r="F21" s="21">
        <f>(SUMPRODUCT('NVIDIA Model'!$B$16:$F$16,1/(1+$A21)^{1,2,3,4,5})+('NVIDIA Model'!$F$16*(1+F$20)/($A21-F$20))/(1+$A21)^5+Assumptions!$B$20)/Assumptions!$B$21</f>
        <v/>
      </c>
    </row>
    <row r="22">
      <c r="A22" s="18" t="n">
        <v>0.08</v>
      </c>
      <c r="B22" s="21">
        <f>(SUMPRODUCT('NVIDIA Model'!$B$16:$F$16,1/(1+$A22)^{1,2,3,4,5})+('NVIDIA Model'!$F$16*(1+B$20)/($A22-B$20))/(1+$A22)^5+Assumptions!$B$20)/Assumptions!$B$21</f>
        <v/>
      </c>
      <c r="C22" s="21">
        <f>(SUMPRODUCT('NVIDIA Model'!$B$16:$F$16,1/(1+$A22)^{1,2,3,4,5})+('NVIDIA Model'!$F$16*(1+C$20)/($A22-C$20))/(1+$A22)^5+Assumptions!$B$20)/Assumptions!$B$21</f>
        <v/>
      </c>
      <c r="D22" s="21">
        <f>(SUMPRODUCT('NVIDIA Model'!$B$16:$F$16,1/(1+$A22)^{1,2,3,4,5})+('NVIDIA Model'!$F$16*(1+D$20)/($A22-D$20))/(1+$A22)^5+Assumptions!$B$20)/Assumptions!$B$21</f>
        <v/>
      </c>
      <c r="E22" s="21">
        <f>(SUMPRODUCT('NVIDIA Model'!$B$16:$F$16,1/(1+$A22)^{1,2,3,4,5})+('NVIDIA Model'!$F$16*(1+E$20)/($A22-E$20))/(1+$A22)^5+Assumptions!$B$20)/Assumptions!$B$21</f>
        <v/>
      </c>
      <c r="F22" s="21">
        <f>(SUMPRODUCT('NVIDIA Model'!$B$16:$F$16,1/(1+$A22)^{1,2,3,4,5})+('NVIDIA Model'!$F$16*(1+F$20)/($A22-F$20))/(1+$A22)^5+Assumptions!$B$20)/Assumptions!$B$21</f>
        <v/>
      </c>
    </row>
    <row r="23">
      <c r="A23" s="18" t="n">
        <v>0.08500000000000001</v>
      </c>
      <c r="B23" s="21">
        <f>(SUMPRODUCT('NVIDIA Model'!$B$16:$F$16,1/(1+$A23)^{1,2,3,4,5})+('NVIDIA Model'!$F$16*(1+B$20)/($A23-B$20))/(1+$A23)^5+Assumptions!$B$20)/Assumptions!$B$21</f>
        <v/>
      </c>
      <c r="C23" s="21">
        <f>(SUMPRODUCT('NVIDIA Model'!$B$16:$F$16,1/(1+$A23)^{1,2,3,4,5})+('NVIDIA Model'!$F$16*(1+C$20)/($A23-C$20))/(1+$A23)^5+Assumptions!$B$20)/Assumptions!$B$21</f>
        <v/>
      </c>
      <c r="D23" s="21">
        <f>(SUMPRODUCT('NVIDIA Model'!$B$16:$F$16,1/(1+$A23)^{1,2,3,4,5})+('NVIDIA Model'!$F$16*(1+D$20)/($A23-D$20))/(1+$A23)^5+Assumptions!$B$20)/Assumptions!$B$21</f>
        <v/>
      </c>
      <c r="E23" s="21">
        <f>(SUMPRODUCT('NVIDIA Model'!$B$16:$F$16,1/(1+$A23)^{1,2,3,4,5})+('NVIDIA Model'!$F$16*(1+E$20)/($A23-E$20))/(1+$A23)^5+Assumptions!$B$20)/Assumptions!$B$21</f>
        <v/>
      </c>
      <c r="F23" s="21">
        <f>(SUMPRODUCT('NVIDIA Model'!$B$16:$F$16,1/(1+$A23)^{1,2,3,4,5})+('NVIDIA Model'!$F$16*(1+F$20)/($A23-F$20))/(1+$A23)^5+Assumptions!$B$20)/Assumptions!$B$21</f>
        <v/>
      </c>
    </row>
    <row r="24">
      <c r="A24" s="18" t="n">
        <v>0.09</v>
      </c>
      <c r="B24" s="21">
        <f>(SUMPRODUCT('NVIDIA Model'!$B$16:$F$16,1/(1+$A24)^{1,2,3,4,5})+('NVIDIA Model'!$F$16*(1+B$20)/($A24-B$20))/(1+$A24)^5+Assumptions!$B$20)/Assumptions!$B$21</f>
        <v/>
      </c>
      <c r="C24" s="21">
        <f>(SUMPRODUCT('NVIDIA Model'!$B$16:$F$16,1/(1+$A24)^{1,2,3,4,5})+('NVIDIA Model'!$F$16*(1+C$20)/($A24-C$20))/(1+$A24)^5+Assumptions!$B$20)/Assumptions!$B$21</f>
        <v/>
      </c>
      <c r="D24" s="21">
        <f>(SUMPRODUCT('NVIDIA Model'!$B$16:$F$16,1/(1+$A24)^{1,2,3,4,5})+('NVIDIA Model'!$F$16*(1+D$20)/($A24-D$20))/(1+$A24)^5+Assumptions!$B$20)/Assumptions!$B$21</f>
        <v/>
      </c>
      <c r="E24" s="21">
        <f>(SUMPRODUCT('NVIDIA Model'!$B$16:$F$16,1/(1+$A24)^{1,2,3,4,5})+('NVIDIA Model'!$F$16*(1+E$20)/($A24-E$20))/(1+$A24)^5+Assumptions!$B$20)/Assumptions!$B$21</f>
        <v/>
      </c>
      <c r="F24" s="21">
        <f>(SUMPRODUCT('NVIDIA Model'!$B$16:$F$16,1/(1+$A24)^{1,2,3,4,5})+('NVIDIA Model'!$F$16*(1+F$20)/($A24-F$20))/(1+$A24)^5+Assumptions!$B$20)/Assumptions!$B$21</f>
        <v/>
      </c>
    </row>
    <row r="25">
      <c r="A25" s="18" t="n">
        <v>0.095</v>
      </c>
      <c r="B25" s="21">
        <f>(SUMPRODUCT('NVIDIA Model'!$B$16:$F$16,1/(1+$A25)^{1,2,3,4,5})+('NVIDIA Model'!$F$16*(1+B$20)/($A25-B$20))/(1+$A25)^5+Assumptions!$B$20)/Assumptions!$B$21</f>
        <v/>
      </c>
      <c r="C25" s="21">
        <f>(SUMPRODUCT('NVIDIA Model'!$B$16:$F$16,1/(1+$A25)^{1,2,3,4,5})+('NVIDIA Model'!$F$16*(1+C$20)/($A25-C$20))/(1+$A25)^5+Assumptions!$B$20)/Assumptions!$B$21</f>
        <v/>
      </c>
      <c r="D25" s="21">
        <f>(SUMPRODUCT('NVIDIA Model'!$B$16:$F$16,1/(1+$A25)^{1,2,3,4,5})+('NVIDIA Model'!$F$16*(1+D$20)/($A25-D$20))/(1+$A25)^5+Assumptions!$B$20)/Assumptions!$B$21</f>
        <v/>
      </c>
      <c r="E25" s="21">
        <f>(SUMPRODUCT('NVIDIA Model'!$B$16:$F$16,1/(1+$A25)^{1,2,3,4,5})+('NVIDIA Model'!$F$16*(1+E$20)/($A25-E$20))/(1+$A25)^5+Assumptions!$B$20)/Assumptions!$B$21</f>
        <v/>
      </c>
      <c r="F25" s="21">
        <f>(SUMPRODUCT('NVIDIA Model'!$B$16:$F$16,1/(1+$A25)^{1,2,3,4,5})+('NVIDIA Model'!$F$16*(1+F$20)/($A25-F$20))/(1+$A25)^5+Assumptions!$B$20)/Assumptions!$B$21</f>
        <v/>
      </c>
    </row>
    <row r="26"/>
    <row r="27"/>
    <row r="28">
      <c r="A28" s="16" t="inlineStr">
        <is>
          <t>Sensitivity: implied value per share — Palantir</t>
        </is>
      </c>
    </row>
    <row r="29">
      <c r="A29" s="5" t="inlineStr">
        <is>
          <t>WACC \ g</t>
        </is>
      </c>
      <c r="B29" s="24" t="n">
        <v>0.025</v>
      </c>
      <c r="C29" s="24" t="n">
        <v>0.03</v>
      </c>
      <c r="D29" s="24" t="n">
        <v>0.035</v>
      </c>
      <c r="E29" s="24" t="n">
        <v>0.04</v>
      </c>
      <c r="F29" s="24" t="n">
        <v>0.045</v>
      </c>
    </row>
    <row r="30">
      <c r="A30" s="18" t="n">
        <v>0.08</v>
      </c>
      <c r="B30" s="21">
        <f>(SUMPRODUCT('Palantir Model'!$B$16:$F$16,1/(1+$A30)^{1,2,3,4,5})+('Palantir Model'!$F$16*(1+B$29)/($A30-B$29))/(1+$A30)^5+Assumptions!$C$20)/Assumptions!$C$21</f>
        <v/>
      </c>
      <c r="C30" s="21">
        <f>(SUMPRODUCT('Palantir Model'!$B$16:$F$16,1/(1+$A30)^{1,2,3,4,5})+('Palantir Model'!$F$16*(1+C$29)/($A30-C$29))/(1+$A30)^5+Assumptions!$C$20)/Assumptions!$C$21</f>
        <v/>
      </c>
      <c r="D30" s="21">
        <f>(SUMPRODUCT('Palantir Model'!$B$16:$F$16,1/(1+$A30)^{1,2,3,4,5})+('Palantir Model'!$F$16*(1+D$29)/($A30-D$29))/(1+$A30)^5+Assumptions!$C$20)/Assumptions!$C$21</f>
        <v/>
      </c>
      <c r="E30" s="21">
        <f>(SUMPRODUCT('Palantir Model'!$B$16:$F$16,1/(1+$A30)^{1,2,3,4,5})+('Palantir Model'!$F$16*(1+E$29)/($A30-E$29))/(1+$A30)^5+Assumptions!$C$20)/Assumptions!$C$21</f>
        <v/>
      </c>
      <c r="F30" s="21">
        <f>(SUMPRODUCT('Palantir Model'!$B$16:$F$16,1/(1+$A30)^{1,2,3,4,5})+('Palantir Model'!$F$16*(1+F$29)/($A30-F$29))/(1+$A30)^5+Assumptions!$C$20)/Assumptions!$C$21</f>
        <v/>
      </c>
    </row>
    <row r="31">
      <c r="A31" s="18" t="n">
        <v>0.08500000000000001</v>
      </c>
      <c r="B31" s="21">
        <f>(SUMPRODUCT('Palantir Model'!$B$16:$F$16,1/(1+$A31)^{1,2,3,4,5})+('Palantir Model'!$F$16*(1+B$29)/($A31-B$29))/(1+$A31)^5+Assumptions!$C$20)/Assumptions!$C$21</f>
        <v/>
      </c>
      <c r="C31" s="21">
        <f>(SUMPRODUCT('Palantir Model'!$B$16:$F$16,1/(1+$A31)^{1,2,3,4,5})+('Palantir Model'!$F$16*(1+C$29)/($A31-C$29))/(1+$A31)^5+Assumptions!$C$20)/Assumptions!$C$21</f>
        <v/>
      </c>
      <c r="D31" s="21">
        <f>(SUMPRODUCT('Palantir Model'!$B$16:$F$16,1/(1+$A31)^{1,2,3,4,5})+('Palantir Model'!$F$16*(1+D$29)/($A31-D$29))/(1+$A31)^5+Assumptions!$C$20)/Assumptions!$C$21</f>
        <v/>
      </c>
      <c r="E31" s="21">
        <f>(SUMPRODUCT('Palantir Model'!$B$16:$F$16,1/(1+$A31)^{1,2,3,4,5})+('Palantir Model'!$F$16*(1+E$29)/($A31-E$29))/(1+$A31)^5+Assumptions!$C$20)/Assumptions!$C$21</f>
        <v/>
      </c>
      <c r="F31" s="21">
        <f>(SUMPRODUCT('Palantir Model'!$B$16:$F$16,1/(1+$A31)^{1,2,3,4,5})+('Palantir Model'!$F$16*(1+F$29)/($A31-F$29))/(1+$A31)^5+Assumptions!$C$20)/Assumptions!$C$21</f>
        <v/>
      </c>
    </row>
    <row r="32">
      <c r="A32" s="18" t="n">
        <v>0.09</v>
      </c>
      <c r="B32" s="21">
        <f>(SUMPRODUCT('Palantir Model'!$B$16:$F$16,1/(1+$A32)^{1,2,3,4,5})+('Palantir Model'!$F$16*(1+B$29)/($A32-B$29))/(1+$A32)^5+Assumptions!$C$20)/Assumptions!$C$21</f>
        <v/>
      </c>
      <c r="C32" s="21">
        <f>(SUMPRODUCT('Palantir Model'!$B$16:$F$16,1/(1+$A32)^{1,2,3,4,5})+('Palantir Model'!$F$16*(1+C$29)/($A32-C$29))/(1+$A32)^5+Assumptions!$C$20)/Assumptions!$C$21</f>
        <v/>
      </c>
      <c r="D32" s="21">
        <f>(SUMPRODUCT('Palantir Model'!$B$16:$F$16,1/(1+$A32)^{1,2,3,4,5})+('Palantir Model'!$F$16*(1+D$29)/($A32-D$29))/(1+$A32)^5+Assumptions!$C$20)/Assumptions!$C$21</f>
        <v/>
      </c>
      <c r="E32" s="21">
        <f>(SUMPRODUCT('Palantir Model'!$B$16:$F$16,1/(1+$A32)^{1,2,3,4,5})+('Palantir Model'!$F$16*(1+E$29)/($A32-E$29))/(1+$A32)^5+Assumptions!$C$20)/Assumptions!$C$21</f>
        <v/>
      </c>
      <c r="F32" s="21">
        <f>(SUMPRODUCT('Palantir Model'!$B$16:$F$16,1/(1+$A32)^{1,2,3,4,5})+('Palantir Model'!$F$16*(1+F$29)/($A32-F$29))/(1+$A32)^5+Assumptions!$C$20)/Assumptions!$C$21</f>
        <v/>
      </c>
    </row>
    <row r="33">
      <c r="A33" s="18" t="n">
        <v>0.095</v>
      </c>
      <c r="B33" s="21">
        <f>(SUMPRODUCT('Palantir Model'!$B$16:$F$16,1/(1+$A33)^{1,2,3,4,5})+('Palantir Model'!$F$16*(1+B$29)/($A33-B$29))/(1+$A33)^5+Assumptions!$C$20)/Assumptions!$C$21</f>
        <v/>
      </c>
      <c r="C33" s="21">
        <f>(SUMPRODUCT('Palantir Model'!$B$16:$F$16,1/(1+$A33)^{1,2,3,4,5})+('Palantir Model'!$F$16*(1+C$29)/($A33-C$29))/(1+$A33)^5+Assumptions!$C$20)/Assumptions!$C$21</f>
        <v/>
      </c>
      <c r="D33" s="21">
        <f>(SUMPRODUCT('Palantir Model'!$B$16:$F$16,1/(1+$A33)^{1,2,3,4,5})+('Palantir Model'!$F$16*(1+D$29)/($A33-D$29))/(1+$A33)^5+Assumptions!$C$20)/Assumptions!$C$21</f>
        <v/>
      </c>
      <c r="E33" s="21">
        <f>(SUMPRODUCT('Palantir Model'!$B$16:$F$16,1/(1+$A33)^{1,2,3,4,5})+('Palantir Model'!$F$16*(1+E$29)/($A33-E$29))/(1+$A33)^5+Assumptions!$C$20)/Assumptions!$C$21</f>
        <v/>
      </c>
      <c r="F33" s="21">
        <f>(SUMPRODUCT('Palantir Model'!$B$16:$F$16,1/(1+$A33)^{1,2,3,4,5})+('Palantir Model'!$F$16*(1+F$29)/($A33-F$29))/(1+$A33)^5+Assumptions!$C$20)/Assumptions!$C$21</f>
        <v/>
      </c>
    </row>
    <row r="34">
      <c r="A34" s="18" t="n">
        <v>0.1</v>
      </c>
      <c r="B34" s="21">
        <f>(SUMPRODUCT('Palantir Model'!$B$16:$F$16,1/(1+$A34)^{1,2,3,4,5})+('Palantir Model'!$F$16*(1+B$29)/($A34-B$29))/(1+$A34)^5+Assumptions!$C$20)/Assumptions!$C$21</f>
        <v/>
      </c>
      <c r="C34" s="21">
        <f>(SUMPRODUCT('Palantir Model'!$B$16:$F$16,1/(1+$A34)^{1,2,3,4,5})+('Palantir Model'!$F$16*(1+C$29)/($A34-C$29))/(1+$A34)^5+Assumptions!$C$20)/Assumptions!$C$21</f>
        <v/>
      </c>
      <c r="D34" s="21">
        <f>(SUMPRODUCT('Palantir Model'!$B$16:$F$16,1/(1+$A34)^{1,2,3,4,5})+('Palantir Model'!$F$16*(1+D$29)/($A34-D$29))/(1+$A34)^5+Assumptions!$C$20)/Assumptions!$C$21</f>
        <v/>
      </c>
      <c r="E34" s="21">
        <f>(SUMPRODUCT('Palantir Model'!$B$16:$F$16,1/(1+$A34)^{1,2,3,4,5})+('Palantir Model'!$F$16*(1+E$29)/($A34-E$29))/(1+$A34)^5+Assumptions!$C$20)/Assumptions!$C$21</f>
        <v/>
      </c>
      <c r="F34" s="21">
        <f>(SUMPRODUCT('Palantir Model'!$B$16:$F$16,1/(1+$A34)^{1,2,3,4,5})+('Palantir Model'!$F$16*(1+F$29)/($A34-F$29))/(1+$A34)^5+Assumptions!$C$20)/Assumptions!$C$21</f>
        <v/>
      </c>
    </row>
    <row r="35"/>
    <row r="36"/>
    <row r="37" ht="30" customHeight="1">
      <c r="A37" s="25" t="inlineStr">
        <is>
          <t>Sensitivity grids assume all other inputs remain constant. Avoid terminal growth &gt;= WACC.</t>
        </is>
      </c>
    </row>
  </sheetData>
  <mergeCells count="5">
    <mergeCell ref="A2:I2"/>
    <mergeCell ref="A1:I1"/>
    <mergeCell ref="A19:G19"/>
    <mergeCell ref="A28:G28"/>
    <mergeCell ref="A37:G37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95" customWidth="1" min="3" max="3"/>
  </cols>
  <sheetData>
    <row r="1" ht="28" customHeight="1">
      <c r="A1" s="1" t="inlineStr">
        <is>
          <t>Sources &amp; Actual Data Notes</t>
        </is>
      </c>
    </row>
    <row r="2" ht="30" customHeight="1">
      <c r="A2" s="2" t="inlineStr">
        <is>
          <t>Primary company sources reviewed October 12, 2026. Forecast inputs remain assumptions unless noted.</t>
        </is>
      </c>
    </row>
    <row r="3"/>
    <row r="4">
      <c r="A4" s="5" t="inlineStr">
        <is>
          <t>Company / data</t>
        </is>
      </c>
      <c r="B4" s="5" t="inlineStr">
        <is>
          <t>Source</t>
        </is>
      </c>
      <c r="C4" s="5" t="inlineStr">
        <is>
          <t>Model use / note</t>
        </is>
      </c>
    </row>
    <row r="5" ht="58" customHeight="1">
      <c r="A5" s="4" t="inlineStr">
        <is>
          <t>NVIDIA Q2 FY2027 results</t>
        </is>
      </c>
      <c r="B5" s="26" t="inlineStr">
        <is>
          <t>https://investor.nvidia.com/news/press-release-details/2026/NVIDIA-Announces-Financial-Results-for-Second-Quarter-Fiscal-2027/</t>
        </is>
      </c>
      <c r="C5" s="4" t="inlineStr">
        <is>
          <t>Q2 revenue $96.221bn, GAAP gross margin 75.0%, operating income $63.734bn, net income $59.688bn; H1 revenue $177.837bn; H1 company-defined FCF $69.895bn.</t>
        </is>
      </c>
    </row>
    <row r="6" ht="58" customHeight="1">
      <c r="A6" s="4" t="inlineStr">
        <is>
          <t>NVIDIA Q2 FY2027 detailed release</t>
        </is>
      </c>
      <c r="B6" s="26" t="inlineStr">
        <is>
          <t>https://investor.nvidia.com/news/press-release-details/2026/NVIDIA-Announces-Financial-Results-for-Second-Quarter-Fiscal-2027/default.aspx</t>
        </is>
      </c>
      <c r="C6" s="4" t="inlineStr">
        <is>
          <t>Q3 FY2027 revenue guidance $108bn ±2%; FY2027 tax-rate outlook 16–18%; diluted weighted average shares Q2 24.285bn.</t>
        </is>
      </c>
    </row>
    <row r="7" ht="58" customHeight="1">
      <c r="A7" s="4" t="inlineStr">
        <is>
          <t>Palantir Q2 2026 Business Update (PDF)</t>
        </is>
      </c>
      <c r="B7" s="26" t="inlineStr">
        <is>
          <t>https://investors.palantir.com/files/Palantir%20-%20Q2%202026%20Business%20Update.pdf</t>
        </is>
      </c>
      <c r="C7" s="4" t="inlineStr">
        <is>
          <t>Q2 revenue $1.94bn; adjusted FCF $1.22bn; adjusted operating income $1.19bn; US commercial revenue $764m.</t>
        </is>
      </c>
    </row>
    <row r="8" ht="58" customHeight="1">
      <c r="A8" s="4" t="inlineStr">
        <is>
          <t>Palantir Q2 2026 Shareholder Letter</t>
        </is>
      </c>
      <c r="B8" s="26" t="inlineStr">
        <is>
          <t>https://www.palantir.com/q2-2026-letter/en/</t>
        </is>
      </c>
      <c r="C8" s="4" t="inlineStr">
        <is>
          <t>Q2 2026 reported revenue growth of 93% year over year; revenue $1.9bn (rounded).</t>
        </is>
      </c>
    </row>
    <row r="9" ht="58" customHeight="1">
      <c r="A9" s="4" t="inlineStr">
        <is>
          <t>Palantir Q1 2026 earnings release</t>
        </is>
      </c>
      <c r="B9" s="26" t="inlineStr">
        <is>
          <t>https://investors.palantir.com/news-details/2026/Palantir-Reports-Q1-2026-U-S--Revenue-Growth-of-104-YY-and-Revenue-Growth-of-85/</t>
        </is>
      </c>
      <c r="C9" s="4" t="inlineStr">
        <is>
          <t>Q1 revenue $1.633bn; GAAP operating income $0.754bn; cash + marketable securities ~$8.026bn; FY2026 revenue guidance $7.650–$7.662bn.</t>
        </is>
      </c>
    </row>
    <row r="10" ht="58" customHeight="1">
      <c r="A10" s="4" t="inlineStr">
        <is>
          <t>Palantir Quarterly Results</t>
        </is>
      </c>
      <c r="B10" s="26" t="inlineStr">
        <is>
          <t>https://investors.palantir.com/financials/quarterly-results</t>
        </is>
      </c>
      <c r="C10" s="4" t="inlineStr">
        <is>
          <t>Investor relations index for quarterly reports and filings.</t>
        </is>
      </c>
    </row>
  </sheetData>
  <autoFilter ref="A1:C10"/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2026-10-12T17:08:53Z</dcterms:created>
  <dcterms:modified xmlns:dcterms="http://purl.org/dc/terms/" xmlns:xsi="http://www.w3.org/2001/XMLSchema-instance" xsi:type="dcterms:W3CDTF">2026-10-12T17:09:04Z</dcterms:modified>
</cp:coreProperties>
</file>