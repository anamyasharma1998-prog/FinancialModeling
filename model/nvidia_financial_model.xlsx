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1"/>
  </bookViews>
  <sheets>
    <sheet name="Income_Statement" sheetId="1" r:id="rId1"/>
    <sheet name="Assumption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<sst xmlns="http://schemas.openxmlformats.org/spreadsheetml/2006/main" count="61" uniqueCount="56">
  <si>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Row Line Item ($ Millions)</t>
  </si>
  <si>
    <t>FY2022</t>
  </si>
  <si>
    <t>FY2023</t>
  </si>
  <si>
    <t>FY2024</t>
  </si>
  <si>
    <t>FY2025</t>
  </si>
  <si>
    <t>FY2026E (Formula/Forecast)</t>
  </si>
  <si>
    <t>Data Center Revenue</t>
  </si>
  <si>
    <t>$10,613</t>
  </si>
  <si>
    <t>$15,005</t>
  </si>
  <si>
    <t>$47,525</t>
  </si>
  <si>
    <t>$115,170</t>
  </si>
  <si>
    <t>Gaming &amp; Other Revenue</t>
  </si>
  <si>
    <t>$16,301</t>
  </si>
  <si>
    <t>$11,969</t>
  </si>
  <si>
    <t>$13,397</t>
  </si>
  <si>
    <t>$15,327</t>
  </si>
  <si>
    <t>Total Revenue</t>
  </si>
  <si>
    <t>$26,914</t>
  </si>
  <si>
    <t>$26,974</t>
  </si>
  <si>
    <t>$60,922</t>
  </si>
  <si>
    <t>$130,497</t>
  </si>
  <si>
    <t>Cost of Revenue</t>
  </si>
  <si>
    <t>$9,439</t>
  </si>
  <si>
    <t>$11,618</t>
  </si>
  <si>
    <t>$16,621</t>
  </si>
  <si>
    <t>$32,639</t>
  </si>
  <si>
    <t>Gross Profit</t>
  </si>
  <si>
    <t>$17,475</t>
  </si>
  <si>
    <t>$15,356</t>
  </si>
  <si>
    <t>$44,301</t>
  </si>
  <si>
    <t>$97,858</t>
  </si>
  <si>
    <t>Operating Expenses</t>
  </si>
  <si>
    <t>$7,434</t>
  </si>
  <si>
    <t>$11,132</t>
  </si>
  <si>
    <t>$11,329</t>
  </si>
  <si>
    <t>$16,405</t>
  </si>
  <si>
    <t>Operating Income (EBIT)</t>
  </si>
  <si>
    <t>$10,041</t>
  </si>
  <si>
    <t>$4,224</t>
  </si>
  <si>
    <t>$32,972</t>
  </si>
  <si>
    <t>$81,453</t>
  </si>
  <si>
    <t>Net Income</t>
  </si>
  <si>
    <t>$9,752</t>
  </si>
  <si>
    <t>$4,368</t>
  </si>
  <si>
    <t>$29,760</t>
  </si>
  <si>
    <t>$72,880</t>
  </si>
  <si>
    <t>Assumption Parameter</t>
  </si>
  <si>
    <t>Value</t>
  </si>
  <si>
    <t>Formatting / Type</t>
  </si>
  <si>
    <t>FY2026E Data Center Growth Rate</t>
  </si>
  <si>
    <t>Percentage Input</t>
  </si>
  <si>
    <t>Target Gross Margin %</t>
  </si>
  <si>
    <t>OpEx as % of Revenue</t>
  </si>
  <si>
    <t>Effective Tax Rate</t>
  </si>
  <si>
    <t>WACC (Discount Rate)</t>
  </si>
  <si>
    <t>Perpetual Growth Rate (g)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</si>
</sst>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umption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5" sqref="F15"/>
    </sheetView>
  </sheetViews>
  <sheetFormatPr defaultColWidth="8.88888888888889" defaultRowHeight="14.4" outlineLevelCol="5"/>
  <cols>
    <col min="1" max="1" width="25.7777777777778" style="1" customWidth="1"/>
    <col min="2" max="5" width="8.88888888888889" style="1"/>
    <col min="6" max="6" width="31" style="1" customWidth="1"/>
    <col min="7" max="16384" width="8.88888888888889" style="1"/>
  </cols>
  <sheetData>
    <row r="1" ht="14.5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8.35" spans="1:6">
      <c r="A2" s="2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e">
        <f xml:space="preserve">E2*1.4</f>
        <v>#VALUE!</v>
      </c>
    </row>
    <row r="3" ht="14.55" spans="1:6">
      <c r="A3" s="2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e">
        <f xml:space="preserve">E3*1.1</f>
        <v>#VALUE!</v>
      </c>
    </row>
    <row r="4" ht="28.35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4" t="e">
        <f xml:space="preserve">SUM(F2:F3)</f>
        <v>#VALUE!</v>
      </c>
    </row>
    <row r="5" ht="14.55" spans="1:6">
      <c r="A5" s="2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e">
        <f xml:space="preserve">F4*(1-[1]Assumptions!C3)</f>
        <v>#VALUE!</v>
      </c>
    </row>
    <row r="6" ht="14.55" spans="1: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4" t="e">
        <f xml:space="preserve">F4-F5</f>
        <v>#VALUE!</v>
      </c>
    </row>
    <row r="7" ht="14.55" spans="1:6">
      <c r="A7" s="2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e">
        <f xml:space="preserve">F4*[1]Assumptions!C4</f>
        <v>#VALUE!</v>
      </c>
    </row>
    <row r="8" ht="14.55" spans="1:6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4" t="e">
        <f xml:space="preserve">F6-F7</f>
        <v>#VALUE!</v>
      </c>
    </row>
    <row r="9" ht="14.55" spans="1:6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4" t="e">
        <f xml:space="preserve">F8*(1-[1]Assumptions!C5)</f>
        <v>#VALUE!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10" sqref="B10"/>
    </sheetView>
  </sheetViews>
  <sheetFormatPr defaultColWidth="30.8888888888889" defaultRowHeight="14.4" outlineLevelRow="6" outlineLevelCol="2"/>
  <cols>
    <col min="1" max="16384" width="30.8888888888889" style="1" customWidth="1"/>
  </cols>
  <sheetData>
    <row r="1" ht="14.55" spans="1:3">
      <c r="A1" s="2" t="s">
        <v>46</v>
      </c>
      <c r="B1" s="2" t="s">
        <v>47</v>
      </c>
      <c r="C1" s="2" t="s">
        <v>48</v>
      </c>
    </row>
    <row r="2" ht="28.35" spans="1:3">
      <c r="A2" s="2" t="s">
        <v>49</v>
      </c>
      <c r="B2" s="3">
        <v>0.4</v>
      </c>
      <c r="C2" s="4" t="s">
        <v>50</v>
      </c>
    </row>
    <row r="3" ht="14.55" spans="1:3">
      <c r="A3" s="2" t="s">
        <v>51</v>
      </c>
      <c r="B3" s="3">
        <v>0.74</v>
      </c>
      <c r="C3" s="4" t="s">
        <v>50</v>
      </c>
    </row>
    <row r="4" ht="14.55" spans="1:3">
      <c r="A4" s="2" t="s">
        <v>52</v>
      </c>
      <c r="B4" s="3">
        <v>0.125</v>
      </c>
      <c r="C4" s="4" t="s">
        <v>50</v>
      </c>
    </row>
    <row r="5" ht="14.55" spans="1:3">
      <c r="A5" s="2" t="s">
        <v>53</v>
      </c>
      <c r="B5" s="3">
        <v>0.17</v>
      </c>
      <c r="C5" s="4" t="s">
        <v>50</v>
      </c>
    </row>
    <row r="6" ht="14.55" spans="1:3">
      <c r="A6" s="2" t="s">
        <v>54</v>
      </c>
      <c r="B6" s="3">
        <v>0.095</v>
      </c>
      <c r="C6" s="4" t="s">
        <v>50</v>
      </c>
    </row>
    <row r="7" ht="28.35" spans="1:3">
      <c r="A7" s="2" t="s">
        <v>55</v>
      </c>
      <c r="B7" s="3">
        <v>0.035</v>
      </c>
      <c r="C7" s="4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Income_Statement</vt:lpstr>
      <vt:lpstr>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WPS_1784031089</cp:lastModifiedBy>
  <dcterms:created xsi:type="dcterms:W3CDTF">2026-10-12T18:07:39Z</dcterms:created>
  <dcterms:modified xsi:type="dcterms:W3CDTF">2026-10-12T18:10:34Z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985D767EEF854CA6BE13722FD4C39962_11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